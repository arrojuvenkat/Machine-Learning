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\Xboost Regression\"/>
    </mc:Choice>
  </mc:AlternateContent>
  <xr:revisionPtr revIDLastSave="0" documentId="13_ncr:1_{5B2BE69A-5101-4ABB-8998-8CD0B3F82884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F15" i="2" l="1"/>
  <c r="I2" i="2"/>
  <c r="I9" i="2" s="1"/>
  <c r="M8" i="2"/>
  <c r="I8" i="2"/>
  <c r="M16" i="2"/>
  <c r="I16" i="2"/>
  <c r="I11" i="2"/>
  <c r="M7" i="2"/>
  <c r="I7" i="2"/>
  <c r="I18" i="2" l="1"/>
  <c r="D18" i="2"/>
  <c r="D19" i="2"/>
  <c r="D20" i="2"/>
  <c r="C20" i="2"/>
  <c r="C19" i="2"/>
  <c r="C18" i="2"/>
  <c r="C15" i="2"/>
  <c r="C21" i="2"/>
  <c r="C17" i="2" l="1"/>
  <c r="D17" i="2" s="1"/>
  <c r="C16" i="2" l="1"/>
  <c r="D16" i="2" s="1"/>
  <c r="D15" i="2" l="1"/>
</calcChain>
</file>

<file path=xl/sharedStrings.xml><?xml version="1.0" encoding="utf-8"?>
<sst xmlns="http://schemas.openxmlformats.org/spreadsheetml/2006/main" count="50" uniqueCount="42">
  <si>
    <t>ENSEMBLE TECHNIQUES</t>
  </si>
  <si>
    <t xml:space="preserve">1.Bagging or Bootstrapping aggregation </t>
  </si>
  <si>
    <t>2.Boosting</t>
  </si>
  <si>
    <t>mean=</t>
  </si>
  <si>
    <t>model1</t>
  </si>
  <si>
    <t>model2</t>
  </si>
  <si>
    <t>learning rate=</t>
  </si>
  <si>
    <t>new prediction=</t>
  </si>
  <si>
    <t>X1</t>
  </si>
  <si>
    <t>1.Gradient decent Boosting</t>
  </si>
  <si>
    <t>prediction(h1)</t>
  </si>
  <si>
    <t>error=actual(y)-prediction(h1)</t>
  </si>
  <si>
    <t>prediction(h2)</t>
  </si>
  <si>
    <t>Exp</t>
  </si>
  <si>
    <t>Salary(K)</t>
  </si>
  <si>
    <t>[0.3,0.3,0.3]</t>
  </si>
  <si>
    <t>&lt;=2</t>
  </si>
  <si>
    <t>&gt;2</t>
  </si>
  <si>
    <t>[ -8 ]</t>
  </si>
  <si>
    <t>[  -6,6,-6,12,2 ]</t>
  </si>
  <si>
    <t xml:space="preserve">step1 </t>
  </si>
  <si>
    <t>calculate base model resuduals</t>
  </si>
  <si>
    <t>step2</t>
  </si>
  <si>
    <t>split the tree based on indpendent features</t>
  </si>
  <si>
    <t>step3</t>
  </si>
  <si>
    <r>
      <t>calculate similarity weigh for each leave</t>
    </r>
    <r>
      <rPr>
        <b/>
        <sz val="11"/>
        <color theme="1"/>
        <rFont val="Calibri"/>
        <family val="2"/>
        <scheme val="minor"/>
      </rPr>
      <t xml:space="preserve"> similarity weight = (Σresuduals)2/(no of resuduals + λ)</t>
    </r>
  </si>
  <si>
    <t>similarity weight</t>
  </si>
  <si>
    <t>gain =</t>
  </si>
  <si>
    <t>step4</t>
  </si>
  <si>
    <t xml:space="preserve">calculate gain </t>
  </si>
  <si>
    <t>&lt;=2.5</t>
  </si>
  <si>
    <t>[ -8,-6 ]</t>
  </si>
  <si>
    <t>[  6,-6,12,2 ]</t>
  </si>
  <si>
    <t>model1 prediction+Σ learning rate *output</t>
  </si>
  <si>
    <t>model1 prediction+learning rate *Output</t>
  </si>
  <si>
    <t>output</t>
  </si>
  <si>
    <t>gamma γ is a one of hyperparameter in XG BOOST</t>
  </si>
  <si>
    <t>1.Xtream gradient Boosting(XG BOOST)</t>
  </si>
  <si>
    <r>
      <t xml:space="preserve">XG boost algorithm can be used for both classification and </t>
    </r>
    <r>
      <rPr>
        <sz val="10"/>
        <color rgb="FF0070C0"/>
        <rFont val="Georgia"/>
        <family val="1"/>
      </rPr>
      <t>regression problem.</t>
    </r>
  </si>
  <si>
    <t>i.ada boost</t>
  </si>
  <si>
    <t>ii.gradient decent boosting</t>
  </si>
  <si>
    <t>iii) XG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</si>
</sst>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92929"/>
      <name val="Georgia"/>
      <family val="1"/>
    </font>
    <font>
      <sz val="10"/>
      <color rgb="FF0070C0"/>
      <name val="Georgia"/>
      <family val="1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" fontId="0" fillId="0" borderId="0" xfId="0" quotePrefix="1" applyNumberFormat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0" borderId="0" xfId="0" applyFont="1"/>
    <xf numFmtId="0" fontId="1" fillId="2" borderId="7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3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6" xfId="0" applyBorder="1"/>
    <xf numFmtId="0" fontId="0" fillId="0" borderId="9" xfId="0" applyBorder="1"/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5" fillId="0" borderId="0" xfId="0" applyFon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6352</xdr:colOff>
      <xdr:row>4</xdr:row>
      <xdr:rowOff>149225</xdr:rowOff>
    </xdr:from>
    <xdr:to>
      <xdr:col>7</xdr:col>
      <xdr:colOff>285348</xdr:colOff>
      <xdr:row>20</xdr:row>
      <xdr:rowOff>177800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54352" y="885825"/>
          <a:ext cx="3936596" cy="2974975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38100</xdr:colOff>
      <xdr:row>5</xdr:row>
      <xdr:rowOff>0</xdr:rowOff>
    </xdr:from>
    <xdr:to>
      <xdr:col>13</xdr:col>
      <xdr:colOff>323850</xdr:colOff>
      <xdr:row>20</xdr:row>
      <xdr:rowOff>114300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353300" y="920750"/>
          <a:ext cx="3486150" cy="2876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98779</xdr:colOff>
      <xdr:row>0</xdr:row>
      <xdr:rowOff>0</xdr:rowOff>
    </xdr:from>
    <xdr:to>
      <xdr:col>5</xdr:col>
      <xdr:colOff>1502833</xdr:colOff>
      <xdr:row>9</xdr:row>
      <xdr:rowOff>154807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28A1C8-7557-4AEC-922E-53DAF75C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6946" y="0"/>
          <a:ext cx="5150554" cy="2088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A9" sqref="A9"/>
    </sheetView>
  </sheetViews>
  <sheetFormatPr defaultRowHeight="14.5" x14ac:dyDescent="0.35"/>
  <cols>
    <col min="1" max="1" width="42.54296875" customWidth="1"/>
    <col min="9" max="9" width="10.90625" customWidth="1"/>
  </cols>
  <sheetData>
    <row r="1" spans="1:13" ht="16" customHeight="1" x14ac:dyDescent="0.35">
      <c r="A1" s="1" t="s">
        <v>37</v>
      </c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4" customHeight="1" x14ac:dyDescent="0.35">
      <c r="A2" s="13" t="s">
        <v>38</v>
      </c>
      <c r="B2" t="s">
        <v>1</v>
      </c>
      <c r="I2" t="s">
        <v>2</v>
      </c>
    </row>
    <row r="3" spans="1:13" x14ac:dyDescent="0.35">
      <c r="I3" t="s">
        <v>39</v>
      </c>
    </row>
    <row r="4" spans="1:13" x14ac:dyDescent="0.35">
      <c r="I4" t="s">
        <v>40</v>
      </c>
    </row>
    <row r="5" spans="1:13" x14ac:dyDescent="0.35">
      <c r="I5" t="s">
        <v>41</v>
      </c>
    </row>
  </sheetData>
  <mergeCells count="1">
    <mergeCell ref="B1:M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abSelected="1" zoomScale="85" zoomScaleNormal="85" workbookViewId="0">
      <selection activeCell="A14" sqref="A14"/>
    </sheetView>
  </sheetViews>
  <sheetFormatPr defaultRowHeight="14.5" x14ac:dyDescent="0.35"/>
  <cols>
    <col min="1" max="1" width="9.54296875" customWidth="1"/>
    <col min="2" max="2" width="32.36328125" customWidth="1"/>
    <col min="3" max="3" width="13.08984375" customWidth="1"/>
    <col min="4" max="4" width="26.453125" customWidth="1"/>
    <col min="5" max="5" width="14" customWidth="1"/>
    <col min="6" max="6" width="21.90625" customWidth="1"/>
    <col min="8" max="8" width="14.453125" customWidth="1"/>
    <col min="9" max="9" width="7.36328125" customWidth="1"/>
    <col min="13" max="13" width="14.81640625" customWidth="1"/>
  </cols>
  <sheetData>
    <row r="1" spans="1:13" ht="15" thickBot="1" x14ac:dyDescent="0.4">
      <c r="A1" t="s">
        <v>9</v>
      </c>
    </row>
    <row r="2" spans="1:13" ht="15" thickBot="1" x14ac:dyDescent="0.4">
      <c r="H2" s="23" t="s">
        <v>26</v>
      </c>
      <c r="I2" s="24">
        <f>(-8-6+6-6+12+2)^2/(6+1)</f>
        <v>0</v>
      </c>
      <c r="J2" s="24"/>
      <c r="K2" s="19" t="s">
        <v>8</v>
      </c>
      <c r="L2" s="24"/>
      <c r="M2" s="25"/>
    </row>
    <row r="3" spans="1:13" x14ac:dyDescent="0.35">
      <c r="A3" t="s">
        <v>20</v>
      </c>
      <c r="B3" t="s">
        <v>21</v>
      </c>
      <c r="H3" s="26"/>
      <c r="I3" s="27"/>
      <c r="J3" s="28" t="s">
        <v>16</v>
      </c>
      <c r="K3" s="28"/>
      <c r="L3" s="28" t="s">
        <v>17</v>
      </c>
      <c r="M3" s="29"/>
    </row>
    <row r="4" spans="1:13" ht="29" customHeight="1" thickBot="1" x14ac:dyDescent="0.4">
      <c r="A4" t="s">
        <v>22</v>
      </c>
      <c r="B4" s="2" t="s">
        <v>23</v>
      </c>
      <c r="H4" s="26"/>
      <c r="I4" s="27"/>
      <c r="J4" s="27"/>
      <c r="K4" s="27" t="s">
        <v>15</v>
      </c>
      <c r="L4" s="27"/>
      <c r="M4" s="29"/>
    </row>
    <row r="5" spans="1:13" ht="20.5" customHeight="1" thickBot="1" x14ac:dyDescent="0.4">
      <c r="A5" t="s">
        <v>24</v>
      </c>
      <c r="B5" s="17" t="s">
        <v>25</v>
      </c>
      <c r="H5" s="26"/>
      <c r="I5" s="19" t="s">
        <v>18</v>
      </c>
      <c r="J5" s="27"/>
      <c r="K5" s="27"/>
      <c r="L5" s="27"/>
      <c r="M5" s="19" t="s">
        <v>19</v>
      </c>
    </row>
    <row r="6" spans="1:13" x14ac:dyDescent="0.35">
      <c r="B6" s="17"/>
      <c r="H6" s="26"/>
      <c r="I6" s="27"/>
      <c r="J6" s="27"/>
      <c r="K6" s="27"/>
      <c r="L6" s="27"/>
      <c r="M6" s="29"/>
    </row>
    <row r="7" spans="1:13" x14ac:dyDescent="0.35">
      <c r="B7" s="17"/>
      <c r="H7" s="32" t="s">
        <v>26</v>
      </c>
      <c r="I7" s="33">
        <f>(-8)^2/(1+1)</f>
        <v>32</v>
      </c>
      <c r="J7" s="33"/>
      <c r="K7" s="33"/>
      <c r="L7" s="33"/>
      <c r="M7" s="34">
        <f>(-6+6-6+12+2)^2/(4+1)</f>
        <v>12.8</v>
      </c>
    </row>
    <row r="8" spans="1:13" x14ac:dyDescent="0.35">
      <c r="A8" t="s">
        <v>28</v>
      </c>
      <c r="B8" t="s">
        <v>29</v>
      </c>
      <c r="H8" s="26" t="s">
        <v>35</v>
      </c>
      <c r="I8" s="27">
        <f>-8</f>
        <v>-8</v>
      </c>
      <c r="J8" s="27"/>
      <c r="K8" s="27"/>
      <c r="L8" s="27"/>
      <c r="M8" s="29">
        <f>(-6+6-6+12+2)/5</f>
        <v>1.6</v>
      </c>
    </row>
    <row r="9" spans="1:13" ht="15" thickBot="1" x14ac:dyDescent="0.4">
      <c r="H9" s="30" t="s">
        <v>27</v>
      </c>
      <c r="I9" s="31">
        <f>I7+M7-I2</f>
        <v>44.8</v>
      </c>
      <c r="J9" s="31"/>
      <c r="K9" s="31"/>
      <c r="L9" s="31"/>
      <c r="M9" s="18"/>
    </row>
    <row r="10" spans="1:13" ht="15" thickBot="1" x14ac:dyDescent="0.4">
      <c r="H10" s="23"/>
      <c r="I10" s="24"/>
      <c r="J10" s="24"/>
      <c r="K10" s="24"/>
      <c r="L10" s="24"/>
      <c r="M10" s="25"/>
    </row>
    <row r="11" spans="1:13" ht="15" thickBot="1" x14ac:dyDescent="0.4">
      <c r="C11" s="3"/>
      <c r="D11" s="3"/>
      <c r="H11" s="26" t="s">
        <v>26</v>
      </c>
      <c r="I11" s="27">
        <f>(-8-6+6-6+12+2)^2/(5+1)</f>
        <v>0</v>
      </c>
      <c r="J11" s="27"/>
      <c r="K11" s="19" t="s">
        <v>8</v>
      </c>
      <c r="L11" s="27"/>
      <c r="M11" s="29"/>
    </row>
    <row r="12" spans="1:13" x14ac:dyDescent="0.35">
      <c r="B12" s="17" t="s">
        <v>4</v>
      </c>
      <c r="C12" s="17"/>
      <c r="D12" s="17"/>
      <c r="E12" t="s">
        <v>5</v>
      </c>
      <c r="H12" s="26"/>
      <c r="I12" s="27"/>
      <c r="J12" s="28" t="s">
        <v>30</v>
      </c>
      <c r="K12" s="28"/>
      <c r="L12" s="28" t="s">
        <v>17</v>
      </c>
      <c r="M12" s="29"/>
    </row>
    <row r="13" spans="1:13" ht="15" thickBot="1" x14ac:dyDescent="0.4">
      <c r="H13" s="26"/>
      <c r="I13" s="27"/>
      <c r="J13" s="27"/>
      <c r="K13" s="27" t="s">
        <v>15</v>
      </c>
      <c r="L13" s="27"/>
      <c r="M13" s="29"/>
    </row>
    <row r="14" spans="1:13" ht="15" thickBot="1" x14ac:dyDescent="0.4">
      <c r="A14" s="14" t="s">
        <v>13</v>
      </c>
      <c r="B14" s="20" t="s">
        <v>14</v>
      </c>
      <c r="C14" s="10" t="s">
        <v>10</v>
      </c>
      <c r="D14" s="11" t="s">
        <v>11</v>
      </c>
      <c r="E14" s="12"/>
      <c r="F14" s="12" t="s">
        <v>12</v>
      </c>
      <c r="G14" s="2"/>
      <c r="H14" s="26"/>
      <c r="I14" s="19" t="s">
        <v>31</v>
      </c>
      <c r="J14" s="27"/>
      <c r="K14" s="27"/>
      <c r="L14" s="27"/>
      <c r="M14" s="19" t="s">
        <v>32</v>
      </c>
    </row>
    <row r="15" spans="1:13" x14ac:dyDescent="0.35">
      <c r="A15">
        <v>2</v>
      </c>
      <c r="B15" s="21">
        <v>40</v>
      </c>
      <c r="C15" s="5">
        <f>C21</f>
        <v>48</v>
      </c>
      <c r="D15" s="6">
        <f>B15-C15</f>
        <v>-8</v>
      </c>
      <c r="F15">
        <f>C15+F22*I8</f>
        <v>47.2</v>
      </c>
      <c r="H15" s="26"/>
      <c r="I15" s="27"/>
      <c r="J15" s="27"/>
      <c r="K15" s="27"/>
      <c r="L15" s="27"/>
      <c r="M15" s="29"/>
    </row>
    <row r="16" spans="1:13" x14ac:dyDescent="0.35">
      <c r="A16">
        <v>2.5</v>
      </c>
      <c r="B16" s="21">
        <v>42</v>
      </c>
      <c r="C16" s="5">
        <f>C21</f>
        <v>48</v>
      </c>
      <c r="D16" s="6">
        <f>B16-C16</f>
        <v>-6</v>
      </c>
      <c r="H16" s="26" t="s">
        <v>26</v>
      </c>
      <c r="I16" s="27">
        <f>(-8-6)^2/(1+1)</f>
        <v>98</v>
      </c>
      <c r="J16" s="27"/>
      <c r="K16" s="27"/>
      <c r="L16" s="27"/>
      <c r="M16" s="29">
        <f>(6-6+12+2)^2/(4+1)</f>
        <v>39.200000000000003</v>
      </c>
    </row>
    <row r="17" spans="1:13" x14ac:dyDescent="0.35">
      <c r="A17">
        <v>3</v>
      </c>
      <c r="B17" s="21">
        <v>54</v>
      </c>
      <c r="C17" s="5">
        <f>C21</f>
        <v>48</v>
      </c>
      <c r="D17" s="6">
        <f>B17-C17</f>
        <v>6</v>
      </c>
      <c r="H17" s="26"/>
      <c r="I17" s="27"/>
      <c r="J17" s="27"/>
      <c r="K17" s="27"/>
      <c r="L17" s="27"/>
      <c r="M17" s="29"/>
    </row>
    <row r="18" spans="1:13" ht="15" thickBot="1" x14ac:dyDescent="0.4">
      <c r="A18">
        <v>3.5</v>
      </c>
      <c r="B18" s="21">
        <v>42</v>
      </c>
      <c r="C18" s="5">
        <f>C21</f>
        <v>48</v>
      </c>
      <c r="D18" s="6">
        <f t="shared" ref="D18:D20" si="0">B18-C18</f>
        <v>-6</v>
      </c>
      <c r="E18" s="4"/>
      <c r="H18" s="30" t="s">
        <v>27</v>
      </c>
      <c r="I18" s="31">
        <f>I16+M16-I11</f>
        <v>137.19999999999999</v>
      </c>
      <c r="J18" s="31"/>
      <c r="K18" s="31"/>
      <c r="L18" s="31"/>
      <c r="M18" s="18"/>
    </row>
    <row r="19" spans="1:13" x14ac:dyDescent="0.35">
      <c r="A19">
        <v>4</v>
      </c>
      <c r="B19" s="21">
        <v>60</v>
      </c>
      <c r="C19" s="5">
        <f>C21</f>
        <v>48</v>
      </c>
      <c r="D19" s="6">
        <f t="shared" si="0"/>
        <v>12</v>
      </c>
      <c r="E19" s="4"/>
      <c r="H19" s="15" t="s">
        <v>7</v>
      </c>
      <c r="I19" s="15" t="s">
        <v>33</v>
      </c>
      <c r="J19" s="15"/>
      <c r="K19" s="15"/>
      <c r="L19" s="15"/>
    </row>
    <row r="20" spans="1:13" ht="15" thickBot="1" x14ac:dyDescent="0.4">
      <c r="A20">
        <v>4.5</v>
      </c>
      <c r="B20" s="22">
        <v>50</v>
      </c>
      <c r="C20" s="7">
        <f>C21</f>
        <v>48</v>
      </c>
      <c r="D20" s="8">
        <f t="shared" si="0"/>
        <v>2</v>
      </c>
    </row>
    <row r="21" spans="1:13" x14ac:dyDescent="0.35">
      <c r="B21" t="s">
        <v>3</v>
      </c>
      <c r="C21" s="3">
        <f>SUM(B15:B20)/6</f>
        <v>48</v>
      </c>
      <c r="D21" s="15" t="s">
        <v>7</v>
      </c>
      <c r="E21" t="s">
        <v>34</v>
      </c>
    </row>
    <row r="22" spans="1:13" x14ac:dyDescent="0.35">
      <c r="E22" t="s">
        <v>6</v>
      </c>
      <c r="F22">
        <v>0.1</v>
      </c>
      <c r="G22" s="9"/>
      <c r="H22" t="s">
        <v>36</v>
      </c>
    </row>
  </sheetData>
  <mergeCells count="2">
    <mergeCell ref="B12:D12"/>
    <mergeCell ref="B5:B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Reddy</dc:creator>
  <cp:lastModifiedBy>AS R</cp:lastModifiedBy>
  <dcterms:created xsi:type="dcterms:W3CDTF">2020-11-15T05:33:39Z</dcterms:created>
  <dcterms:modified xsi:type="dcterms:W3CDTF">2020-12-25T09:06:02Z</dcterms:modified>
</cp:coreProperties>
</file>