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\XGBOOST Classifier\"/>
    </mc:Choice>
  </mc:AlternateContent>
  <xr:revisionPtr revIDLastSave="0" documentId="13_ncr:1_{3A82CEA5-001D-41AD-9178-384BED31B4F6}" xr6:coauthVersionLast="45" xr6:coauthVersionMax="45" xr10:uidLastSave="{00000000-0000-0000-0000-000000000000}"/>
  <bookViews>
    <workbookView xWindow="-110" yWindow="-110" windowWidth="19420" windowHeight="10420" activeTab="1" xr2:uid="{42D1C752-2EBA-4589-BCC5-59D3D9A5D6F3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I7" i="1"/>
  <c r="T6" i="1"/>
  <c r="Q6" i="1"/>
  <c r="J4" i="1"/>
  <c r="G5" i="1" l="1"/>
  <c r="G4" i="1"/>
  <c r="G3" i="1"/>
  <c r="N8" i="1"/>
  <c r="W5" i="1"/>
  <c r="U5" i="1"/>
  <c r="S3" i="1"/>
  <c r="N4" i="1"/>
  <c r="P4" i="1"/>
  <c r="L2" i="1"/>
  <c r="E4" i="1" l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<sst xmlns="http://schemas.openxmlformats.org/spreadsheetml/2006/main" count="68" uniqueCount="50">
  <si>
    <t>X1</t>
  </si>
  <si>
    <t>X2</t>
  </si>
  <si>
    <t>y</t>
  </si>
  <si>
    <t>step1</t>
  </si>
  <si>
    <t>step2</t>
  </si>
  <si>
    <t>&lt;20</t>
  </si>
  <si>
    <t>20 to 30</t>
  </si>
  <si>
    <t>21 to 30</t>
  </si>
  <si>
    <t>22 to 30</t>
  </si>
  <si>
    <t>&gt;30</t>
  </si>
  <si>
    <t>H</t>
  </si>
  <si>
    <t>L</t>
  </si>
  <si>
    <t>M</t>
  </si>
  <si>
    <t>step3</t>
  </si>
  <si>
    <t>prediction</t>
  </si>
  <si>
    <t>resuduals</t>
  </si>
  <si>
    <t>prob</t>
  </si>
  <si>
    <t>res2</t>
  </si>
  <si>
    <t>M1</t>
  </si>
  <si>
    <t>ENSEMBLE TECHNIQUES</t>
  </si>
  <si>
    <t xml:space="preserve">1.Bagging or Bootstrapping aggregation </t>
  </si>
  <si>
    <t>2.Boosting</t>
  </si>
  <si>
    <t>consider initial prediction 0.5</t>
  </si>
  <si>
    <t>split the tree based on indpendent features</t>
  </si>
  <si>
    <t>calculate similarity weigh for each leave similarity weight = (Σresuduals)2/( Σ(prev_Prob(1-prev_prob))+ λ)</t>
  </si>
  <si>
    <t>20 to 30 and &gt;30</t>
  </si>
  <si>
    <t>-0.5,-0.5,0.5</t>
  </si>
  <si>
    <t>0.5,0.5,0.5,0.5,0.5,-0.5</t>
  </si>
  <si>
    <t>post proning :gain is less than cover value(prev_prob(1-prev_prop))</t>
  </si>
  <si>
    <t>-0.5,-0.5</t>
  </si>
  <si>
    <t>0.5</t>
  </si>
  <si>
    <t xml:space="preserve">calculate gain= sum of weight of leaves -root weight  </t>
  </si>
  <si>
    <t>gain=</t>
  </si>
  <si>
    <t xml:space="preserve"> &gt;30</t>
  </si>
  <si>
    <t xml:space="preserve">&lt;20 and 20 to 30 </t>
  </si>
  <si>
    <t>-0.5,-0.5,0.5,0.5,0.5,0.5</t>
  </si>
  <si>
    <t>0.5,0.5,-0.5</t>
  </si>
  <si>
    <t>0 +0.2* (0.6)= 0.12</t>
  </si>
  <si>
    <t>0 +0.2* (0.2)= 0.04</t>
  </si>
  <si>
    <t>prediction for new data: X1&lt;20, X2=H y=?</t>
  </si>
  <si>
    <t>&gt;0.5prediction is 1.</t>
  </si>
  <si>
    <t>log(odds)=X= base model output +Σ learning rate* weight</t>
  </si>
  <si>
    <t>base model output :log(odds)=log(p/(1-p))=log (0.5/(1-0.5))=log(1)=0</t>
  </si>
  <si>
    <t>x= base model output+ learning rate* weight</t>
  </si>
  <si>
    <t>probability=  1 / (1 + e ^-x) = 0.52</t>
  </si>
  <si>
    <t>probability=  1 / (1 + e ^-x) == 0.51</t>
  </si>
  <si>
    <t>1.Xtream Gradient Boosting or XG BOOST</t>
  </si>
  <si>
    <r>
      <t xml:space="preserve">XG BOOST boost algorithm can be used for both </t>
    </r>
    <r>
      <rPr>
        <sz val="10"/>
        <color rgb="FF00B0F0"/>
        <rFont val="Georgia"/>
        <family val="1"/>
      </rPr>
      <t>classification</t>
    </r>
    <r>
      <rPr>
        <sz val="10"/>
        <color rgb="FF292929"/>
        <rFont val="Georgia"/>
        <family val="1"/>
      </rPr>
      <t xml:space="preserve"> and </t>
    </r>
    <r>
      <rPr>
        <sz val="10"/>
        <rFont val="Georgia"/>
        <family val="1"/>
      </rPr>
      <t>regression problem.</t>
    </r>
  </si>
  <si>
    <t>0+ 0.2*0.6 =0.12</t>
  </si>
  <si>
    <t>probability=  1 / (1 + e ^-x)  = 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</si>
</sst>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92929"/>
      <name val="Georgia"/>
      <family val="1"/>
    </font>
    <font>
      <sz val="11"/>
      <name val="Calibri"/>
      <family val="2"/>
      <scheme val="minor"/>
    </font>
    <font>
      <sz val="10"/>
      <name val="Georgia"/>
      <family val="1"/>
    </font>
    <font>
      <sz val="10"/>
      <color rgb="FF00B0F0"/>
      <name val="Georg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0" xfId="0" quotePrefix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2" fillId="0" borderId="0" xfId="0" applyFont="1" applyBorder="1"/>
    <xf numFmtId="0" fontId="0" fillId="0" borderId="6" xfId="0" quotePrefix="1" applyBorder="1"/>
    <xf numFmtId="0" fontId="0" fillId="0" borderId="0" xfId="0" quotePrefix="1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3" fillId="0" borderId="0" xfId="0" applyFont="1"/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quotePrefix="1" applyBorder="1"/>
    <xf numFmtId="0" fontId="0" fillId="0" borderId="10" xfId="0" quotePrefix="1" applyBorder="1"/>
    <xf numFmtId="0" fontId="0" fillId="0" borderId="11" xfId="0" applyBorder="1"/>
    <xf numFmtId="0" fontId="0" fillId="0" borderId="0" xfId="0" applyFill="1" applyBorder="1"/>
    <xf numFmtId="0" fontId="0" fillId="0" borderId="2" xfId="0" applyFill="1" applyBorder="1"/>
    <xf numFmtId="0" fontId="5" fillId="0" borderId="0" xfId="0" applyFont="1" applyBorder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2</xdr:row>
      <xdr:rowOff>0</xdr:rowOff>
    </xdr:from>
    <xdr:to>
      <xdr:col>7</xdr:col>
      <xdr:colOff>285346</xdr:colOff>
      <xdr:row>18</xdr:row>
      <xdr:rowOff>28575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7B34406-AC49-49A0-BD09-D28B1AEB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98800" y="660400"/>
          <a:ext cx="3936596" cy="297497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13</xdr:col>
      <xdr:colOff>285750</xdr:colOff>
      <xdr:row>17</xdr:row>
      <xdr:rowOff>114300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1AF4B749-57B0-42D1-9746-259D36D8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359650" y="660400"/>
          <a:ext cx="3333750" cy="2876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177800</xdr:colOff>
      <xdr:row>7</xdr:row>
      <xdr:rowOff>177801</xdr:rowOff>
    </xdr:from>
    <xdr:to>
      <xdr:col>0</xdr:col>
      <xdr:colOff>3036304</xdr:colOff>
      <xdr:row>14</xdr:row>
      <xdr:rowOff>63501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F656A6-E14A-4756-A2BB-9357C589F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800" y="1758951"/>
          <a:ext cx="2858504" cy="1174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2F39-FA57-46B1-8407-A823C02A8D3D}">
  <dimension ref="A1:M2"/>
  <sheetViews>
    <sheetView workbookViewId="0">
      <selection activeCell="A2" sqref="A2"/>
    </sheetView>
  </sheetViews>
  <sheetFormatPr defaultRowHeight="14.5" x14ac:dyDescent="0.35"/>
  <cols>
    <col min="1" max="1" width="44.26953125" customWidth="1"/>
  </cols>
  <sheetData>
    <row r="1" spans="1:13" x14ac:dyDescent="0.35">
      <c r="A1" s="17" t="s">
        <v>46</v>
      </c>
      <c r="B1" s="27" t="s">
        <v>19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37.5" customHeight="1" x14ac:dyDescent="0.35">
      <c r="A2" s="18" t="s">
        <v>47</v>
      </c>
      <c r="B2" s="16" t="s">
        <v>20</v>
      </c>
      <c r="C2" s="16"/>
      <c r="D2" s="16"/>
      <c r="E2" s="16"/>
      <c r="F2" s="16"/>
      <c r="G2" s="16"/>
      <c r="H2" s="16"/>
      <c r="I2" s="16" t="s">
        <v>21</v>
      </c>
      <c r="J2" s="16"/>
      <c r="K2" s="16"/>
      <c r="L2" s="16"/>
      <c r="M2" s="16"/>
    </row>
  </sheetData>
  <mergeCells count="1">
    <mergeCell ref="B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8251-3DD3-4B8B-BB7D-C45CF7B1A406}">
  <dimension ref="A1:Z22"/>
  <sheetViews>
    <sheetView tabSelected="1" topLeftCell="B1" zoomScale="90" zoomScaleNormal="90" workbookViewId="0">
      <selection activeCell="P19" sqref="P19"/>
    </sheetView>
  </sheetViews>
  <sheetFormatPr defaultRowHeight="14.5" x14ac:dyDescent="0.35"/>
  <cols>
    <col min="4" max="4" width="11.90625" customWidth="1"/>
    <col min="5" max="5" width="8.54296875" customWidth="1"/>
    <col min="9" max="9" width="9.26953125" customWidth="1"/>
    <col min="10" max="10" width="13.36328125" customWidth="1"/>
    <col min="12" max="12" width="10.81640625" customWidth="1"/>
    <col min="13" max="13" width="16.453125" customWidth="1"/>
    <col min="14" max="14" width="6.453125" customWidth="1"/>
    <col min="19" max="19" width="11" customWidth="1"/>
    <col min="22" max="22" width="6.54296875" customWidth="1"/>
  </cols>
  <sheetData>
    <row r="1" spans="1:26" x14ac:dyDescent="0.35">
      <c r="D1" s="28"/>
      <c r="E1" s="28"/>
      <c r="F1" s="28" t="s">
        <v>18</v>
      </c>
      <c r="G1" s="29"/>
      <c r="H1" s="3"/>
      <c r="I1" s="4"/>
      <c r="J1" s="4"/>
      <c r="K1" s="4"/>
      <c r="L1" s="4"/>
      <c r="M1" s="4"/>
      <c r="N1" s="4"/>
      <c r="O1" s="4"/>
      <c r="P1" s="5"/>
      <c r="Q1" s="3"/>
      <c r="R1" s="4"/>
      <c r="S1" s="4"/>
      <c r="T1" s="4"/>
      <c r="U1" s="4"/>
      <c r="V1" s="4"/>
      <c r="W1" s="4"/>
      <c r="X1" s="4"/>
      <c r="Y1" s="4"/>
      <c r="Z1" s="5"/>
    </row>
    <row r="2" spans="1:26" ht="15" thickBot="1" x14ac:dyDescent="0.4">
      <c r="A2" s="15" t="s">
        <v>0</v>
      </c>
      <c r="B2" s="15" t="s">
        <v>1</v>
      </c>
      <c r="C2" s="15" t="s">
        <v>2</v>
      </c>
      <c r="D2" s="15" t="s">
        <v>14</v>
      </c>
      <c r="E2" s="15" t="s">
        <v>15</v>
      </c>
      <c r="F2" s="15" t="s">
        <v>16</v>
      </c>
      <c r="G2" s="15" t="s">
        <v>17</v>
      </c>
      <c r="H2" s="6"/>
      <c r="I2" s="7"/>
      <c r="J2" s="7"/>
      <c r="K2" s="7"/>
      <c r="L2" s="7">
        <f>(-0.5-0.5+0.5+0.5+0.5+0.5+0.5+0.5-0.5)^2/((0.5*(1-0.5)+0.5*(1-0.5)+0.5*(1-0.5)+0.5*(1-0.5)+0.5*(1-0.5)+0.5*(1-0.5)+0.5*(1-0.5)+0.5*(1-0.5)+0.5*(1-0.5))+1)</f>
        <v>0.69230769230769229</v>
      </c>
      <c r="M2" s="7"/>
      <c r="N2" s="7"/>
      <c r="O2" s="7"/>
      <c r="P2" s="8"/>
      <c r="Q2" s="7"/>
      <c r="R2" s="7"/>
      <c r="S2" s="7"/>
      <c r="T2" s="7"/>
      <c r="U2" s="7"/>
      <c r="V2" s="7"/>
      <c r="W2" s="7"/>
      <c r="Z2" s="8"/>
    </row>
    <row r="3" spans="1:26" ht="15" thickBot="1" x14ac:dyDescent="0.4">
      <c r="A3" s="3" t="s">
        <v>5</v>
      </c>
      <c r="B3" s="4" t="s">
        <v>10</v>
      </c>
      <c r="C3" s="4">
        <v>0</v>
      </c>
      <c r="D3" s="4">
        <v>0.5</v>
      </c>
      <c r="E3" s="5">
        <f>C3-D3</f>
        <v>-0.5</v>
      </c>
      <c r="F3">
        <v>0.52</v>
      </c>
      <c r="G3">
        <f>C3-F3</f>
        <v>-0.52</v>
      </c>
      <c r="H3" s="6"/>
      <c r="I3" s="7"/>
      <c r="J3" s="7"/>
      <c r="K3" s="7"/>
      <c r="L3" s="1" t="s">
        <v>0</v>
      </c>
      <c r="M3" s="7"/>
      <c r="N3" s="7"/>
      <c r="O3" s="7"/>
      <c r="P3" s="8"/>
      <c r="Q3" s="7"/>
      <c r="R3" s="7"/>
      <c r="S3" s="7">
        <f>(-0.5-0.5+0.5+0.5+0.5+0.5+0.5+0.5-0.5)^2/((0.5*(1-0.5)+0.5*(1-0.5)+0.5*(1-0.5)+0.5*(1-0.5)+0.5*(1-0.5)+0.5*(1-0.5)+0.5*(1-0.5)+0.5*(1-0.5)+0.5*(1-0.5))+1)</f>
        <v>0.69230769230769229</v>
      </c>
      <c r="T3" s="7"/>
      <c r="U3" s="7"/>
      <c r="V3" s="7"/>
      <c r="W3" s="7"/>
      <c r="Z3" s="8"/>
    </row>
    <row r="4" spans="1:26" ht="15" thickBot="1" x14ac:dyDescent="0.4">
      <c r="A4" s="6" t="s">
        <v>5</v>
      </c>
      <c r="B4" s="7" t="s">
        <v>10</v>
      </c>
      <c r="C4" s="7">
        <v>0</v>
      </c>
      <c r="D4" s="7">
        <v>0.5</v>
      </c>
      <c r="E4" s="8">
        <f t="shared" ref="E4:E11" si="0">C4-D4</f>
        <v>-0.5</v>
      </c>
      <c r="F4" s="16">
        <v>0.52</v>
      </c>
      <c r="G4" s="16">
        <f>C4-F4</f>
        <v>-0.52</v>
      </c>
      <c r="H4" s="6"/>
      <c r="I4" s="7"/>
      <c r="J4" s="7">
        <f>(-0.5-0.5+0.5)^2/((0.5*(1-0.5)+0.5*(1-0.5)+0.5*(1-0.5))+1)</f>
        <v>0.14285714285714285</v>
      </c>
      <c r="K4" s="9" t="s">
        <v>5</v>
      </c>
      <c r="L4" s="7"/>
      <c r="M4" s="9" t="s">
        <v>25</v>
      </c>
      <c r="N4" s="25">
        <f>(0.5+0.5+0.5+0.5+0.5-0.5)^2/((0.5*(1-0.5)+0.5*(1-0.5)+0.5*(1-0.5)+0.5*(1-0.5)+0.5*(1-0.5)+0.5*(1-0.5))+1)</f>
        <v>1.6</v>
      </c>
      <c r="O4" s="7" t="s">
        <v>32</v>
      </c>
      <c r="P4" s="8">
        <f>J4+N4-L2</f>
        <v>1.0505494505494506</v>
      </c>
      <c r="Q4" s="7"/>
      <c r="R4" s="7"/>
      <c r="S4" s="1" t="s">
        <v>0</v>
      </c>
      <c r="T4" s="7"/>
      <c r="U4" s="7"/>
      <c r="V4" s="7"/>
      <c r="W4" s="7"/>
      <c r="Z4" s="8"/>
    </row>
    <row r="5" spans="1:26" ht="15" thickBot="1" x14ac:dyDescent="0.4">
      <c r="A5" s="12" t="s">
        <v>5</v>
      </c>
      <c r="B5" s="13" t="s">
        <v>11</v>
      </c>
      <c r="C5" s="24">
        <v>1</v>
      </c>
      <c r="D5" s="13">
        <v>0.5</v>
      </c>
      <c r="E5" s="14">
        <f t="shared" si="0"/>
        <v>0.5</v>
      </c>
      <c r="F5">
        <v>0.51</v>
      </c>
      <c r="G5">
        <f>C5-F5</f>
        <v>0.49</v>
      </c>
      <c r="H5" s="6"/>
      <c r="I5" s="7"/>
      <c r="J5" s="20" t="s">
        <v>26</v>
      </c>
      <c r="K5" s="7"/>
      <c r="L5" s="7"/>
      <c r="M5" s="21" t="s">
        <v>27</v>
      </c>
      <c r="N5" s="22"/>
      <c r="O5" s="7"/>
      <c r="P5" s="8"/>
      <c r="R5" s="9" t="s">
        <v>34</v>
      </c>
      <c r="S5" s="7"/>
      <c r="T5" s="9" t="s">
        <v>33</v>
      </c>
      <c r="U5" s="25">
        <f>(0.5+0.5+0.5+0.5+0.5-0.5)^2/((0.5*(1-0.5)+0.5*(1-0.5)+0.5*(1-0.5)+0.5*(1-0.5)+0.5*(1-0.5)+0.5*(1-0.5))+1)</f>
        <v>1.6</v>
      </c>
      <c r="V5" s="7" t="s">
        <v>32</v>
      </c>
      <c r="W5" s="7">
        <f>Q6+T6-S3</f>
        <v>-0.14945054945054936</v>
      </c>
      <c r="Z5" s="8"/>
    </row>
    <row r="6" spans="1:26" ht="15" thickBot="1" x14ac:dyDescent="0.4">
      <c r="A6" s="6" t="s">
        <v>6</v>
      </c>
      <c r="B6" s="7" t="s">
        <v>10</v>
      </c>
      <c r="C6" s="23">
        <v>1</v>
      </c>
      <c r="D6" s="7">
        <v>0.5</v>
      </c>
      <c r="E6" s="8">
        <f t="shared" si="0"/>
        <v>0.5</v>
      </c>
      <c r="H6" s="6"/>
      <c r="I6" s="9" t="s">
        <v>10</v>
      </c>
      <c r="J6" s="9"/>
      <c r="K6" s="9" t="s">
        <v>11</v>
      </c>
      <c r="L6" s="7"/>
      <c r="M6" s="7"/>
      <c r="N6" s="7"/>
      <c r="O6" s="7"/>
      <c r="P6" s="8"/>
      <c r="Q6" s="7">
        <f>(-0.5-0.5+0.5+0.5+0.5+0.5)^2/((0.5*(1-0.5)+0.5*(1-0.5)+0.5*(1-0.5)+0.5*(1-0.5)+0.5*(1-0.5)+0.5*(1-0.5))+1)</f>
        <v>0.4</v>
      </c>
      <c r="T6">
        <f>(0.5+0.5-0.5)^2/((0.5*(1-0.5)+0.5*(1-0.5)+0.5*(1-0.5))+1)</f>
        <v>0.14285714285714285</v>
      </c>
      <c r="U6" s="7"/>
      <c r="V6" s="7"/>
      <c r="W6" s="7"/>
      <c r="Z6" s="8"/>
    </row>
    <row r="7" spans="1:26" ht="15" thickBot="1" x14ac:dyDescent="0.4">
      <c r="A7" s="6" t="s">
        <v>7</v>
      </c>
      <c r="B7" s="7" t="s">
        <v>11</v>
      </c>
      <c r="C7" s="23">
        <v>1</v>
      </c>
      <c r="D7" s="7">
        <v>0.5</v>
      </c>
      <c r="E7" s="8">
        <f t="shared" si="0"/>
        <v>0.5</v>
      </c>
      <c r="H7" s="6"/>
      <c r="I7" s="25">
        <f>(-0.5-0.5)^2/((0.5*(1-0.5)+0.5*(1-0.5))+1)</f>
        <v>0.66666666666666663</v>
      </c>
      <c r="J7" s="9"/>
      <c r="K7" s="25">
        <f>(0.5)^2/((0.5*(1-0.5))+1)</f>
        <v>0.2</v>
      </c>
      <c r="L7" s="9"/>
      <c r="M7" s="9"/>
      <c r="N7" s="9"/>
      <c r="O7" s="9"/>
      <c r="P7" s="8"/>
      <c r="Q7" s="20" t="s">
        <v>35</v>
      </c>
      <c r="R7" s="22"/>
      <c r="S7" s="7"/>
      <c r="T7" s="20" t="s">
        <v>36</v>
      </c>
      <c r="U7" s="9"/>
      <c r="V7" s="9"/>
      <c r="W7" s="7"/>
      <c r="Z7" s="8"/>
    </row>
    <row r="8" spans="1:26" ht="15" thickBot="1" x14ac:dyDescent="0.4">
      <c r="A8" s="6" t="s">
        <v>8</v>
      </c>
      <c r="B8" s="7" t="s">
        <v>12</v>
      </c>
      <c r="C8" s="23">
        <v>1</v>
      </c>
      <c r="D8" s="7">
        <v>0.5</v>
      </c>
      <c r="E8" s="8">
        <f t="shared" si="0"/>
        <v>0.5</v>
      </c>
      <c r="H8" s="6"/>
      <c r="I8" s="20" t="s">
        <v>29</v>
      </c>
      <c r="J8" s="7"/>
      <c r="K8" s="20" t="s">
        <v>30</v>
      </c>
      <c r="L8" s="7"/>
      <c r="M8" s="7" t="s">
        <v>32</v>
      </c>
      <c r="N8" s="7">
        <f>I7+K7-J4</f>
        <v>0.7238095238095239</v>
      </c>
      <c r="O8" s="7"/>
      <c r="P8" s="8"/>
      <c r="Q8" s="7"/>
      <c r="R8" s="7"/>
      <c r="S8" s="7"/>
      <c r="T8" s="7"/>
      <c r="U8" s="7"/>
      <c r="V8" s="7"/>
      <c r="W8" s="7"/>
      <c r="Z8" s="8"/>
    </row>
    <row r="9" spans="1:26" x14ac:dyDescent="0.35">
      <c r="A9" s="6" t="s">
        <v>9</v>
      </c>
      <c r="B9" s="7" t="s">
        <v>12</v>
      </c>
      <c r="C9" s="23">
        <v>1</v>
      </c>
      <c r="D9" s="7">
        <v>0.5</v>
      </c>
      <c r="E9" s="8">
        <f t="shared" si="0"/>
        <v>0.5</v>
      </c>
      <c r="H9" s="6"/>
      <c r="I9" s="7"/>
      <c r="J9" s="7"/>
      <c r="K9" s="7"/>
      <c r="L9" s="7"/>
      <c r="M9" s="7"/>
      <c r="N9" s="7"/>
      <c r="O9" s="7"/>
      <c r="P9" s="8"/>
      <c r="Q9" s="6"/>
      <c r="R9" s="7"/>
      <c r="S9" s="7"/>
      <c r="T9" s="9"/>
      <c r="U9" s="7"/>
      <c r="V9" s="7"/>
      <c r="W9" s="7"/>
      <c r="X9" s="7"/>
      <c r="Y9" s="7"/>
      <c r="Z9" s="8"/>
    </row>
    <row r="10" spans="1:26" x14ac:dyDescent="0.35">
      <c r="A10" s="6" t="s">
        <v>9</v>
      </c>
      <c r="B10" s="7" t="s">
        <v>11</v>
      </c>
      <c r="C10" s="23">
        <v>1</v>
      </c>
      <c r="D10" s="7">
        <v>0.5</v>
      </c>
      <c r="E10" s="8">
        <f t="shared" si="0"/>
        <v>0.5</v>
      </c>
      <c r="H10" s="6"/>
      <c r="I10" s="7"/>
      <c r="J10" s="7"/>
      <c r="K10" s="7"/>
      <c r="L10" s="7"/>
      <c r="M10" s="7"/>
      <c r="N10" s="7"/>
      <c r="O10" s="7"/>
      <c r="P10" s="8"/>
      <c r="Q10" s="6"/>
      <c r="R10" s="7"/>
      <c r="S10" s="7"/>
      <c r="T10" s="7"/>
      <c r="U10" s="7"/>
      <c r="V10" s="7"/>
      <c r="W10" s="7"/>
      <c r="X10" s="7"/>
      <c r="Y10" s="7"/>
      <c r="Z10" s="8"/>
    </row>
    <row r="11" spans="1:26" ht="15" thickBot="1" x14ac:dyDescent="0.4">
      <c r="A11" s="12" t="s">
        <v>9</v>
      </c>
      <c r="B11" s="13" t="s">
        <v>11</v>
      </c>
      <c r="C11" s="13">
        <v>0</v>
      </c>
      <c r="D11" s="13">
        <v>0.5</v>
      </c>
      <c r="E11" s="14">
        <f t="shared" si="0"/>
        <v>-0.5</v>
      </c>
      <c r="H11" s="6"/>
      <c r="I11" s="7"/>
      <c r="J11" s="7"/>
      <c r="K11" s="7"/>
      <c r="L11" s="7"/>
      <c r="M11" s="7"/>
      <c r="N11" s="7"/>
      <c r="O11" s="7"/>
      <c r="P11" s="8"/>
      <c r="Q11" s="6"/>
      <c r="R11" s="7"/>
      <c r="S11" s="7"/>
      <c r="T11" s="7"/>
      <c r="U11" s="7"/>
      <c r="V11" s="7"/>
      <c r="W11" s="7"/>
      <c r="X11" s="9"/>
      <c r="Y11" s="7"/>
      <c r="Z11" s="8"/>
    </row>
    <row r="12" spans="1:26" x14ac:dyDescent="0.35">
      <c r="H12" s="10"/>
      <c r="I12" s="7"/>
      <c r="J12" s="7"/>
      <c r="K12" s="11"/>
      <c r="L12" s="7"/>
      <c r="M12" s="11"/>
      <c r="N12" s="7"/>
      <c r="O12" s="11"/>
      <c r="P12" s="8"/>
      <c r="Q12" s="10"/>
      <c r="R12" s="7"/>
      <c r="S12" s="7"/>
      <c r="T12" s="7"/>
      <c r="U12" s="7"/>
      <c r="V12" s="7"/>
      <c r="W12" s="7"/>
      <c r="X12" s="7"/>
      <c r="Y12" s="7"/>
      <c r="Z12" s="8"/>
    </row>
    <row r="13" spans="1:26" x14ac:dyDescent="0.35">
      <c r="A13" t="s">
        <v>3</v>
      </c>
      <c r="B13" t="s">
        <v>22</v>
      </c>
      <c r="H13" s="6"/>
      <c r="I13" s="7"/>
      <c r="J13" s="7"/>
      <c r="K13" s="7"/>
      <c r="L13" s="7"/>
      <c r="M13" s="7"/>
      <c r="N13" s="7"/>
      <c r="O13" s="7"/>
      <c r="P13" s="8"/>
      <c r="Q13" s="6"/>
      <c r="R13" s="7"/>
      <c r="S13" s="7"/>
      <c r="T13" s="9"/>
      <c r="U13" s="7"/>
      <c r="V13" s="7"/>
      <c r="W13" s="7"/>
      <c r="X13" s="7"/>
      <c r="Y13" s="7"/>
      <c r="Z13" s="8"/>
    </row>
    <row r="14" spans="1:26" x14ac:dyDescent="0.35">
      <c r="H14" s="6"/>
      <c r="I14" s="9"/>
      <c r="J14" s="9"/>
      <c r="K14" s="9"/>
      <c r="L14" s="9"/>
      <c r="M14" s="9"/>
      <c r="N14" s="9"/>
      <c r="O14" s="9"/>
      <c r="P14" s="26"/>
      <c r="Q14" s="6"/>
      <c r="R14" s="9"/>
      <c r="S14" s="9"/>
      <c r="T14" s="9"/>
      <c r="U14" s="9"/>
      <c r="V14" s="9"/>
      <c r="W14" s="9"/>
      <c r="X14" s="9"/>
      <c r="Y14" s="9"/>
      <c r="Z14" s="8"/>
    </row>
    <row r="15" spans="1:26" ht="21" customHeight="1" thickBot="1" x14ac:dyDescent="0.4">
      <c r="A15" t="s">
        <v>4</v>
      </c>
      <c r="B15" t="s">
        <v>23</v>
      </c>
      <c r="F15" s="16"/>
      <c r="H15" s="12"/>
      <c r="I15" s="13"/>
      <c r="J15" s="13"/>
      <c r="K15" s="13"/>
      <c r="L15" s="13"/>
      <c r="M15" s="13"/>
      <c r="N15" s="13"/>
      <c r="O15" s="13"/>
      <c r="P15" s="14"/>
      <c r="Q15" s="12"/>
      <c r="R15" s="13"/>
      <c r="S15" s="13"/>
      <c r="T15" s="13"/>
      <c r="U15" s="13"/>
      <c r="V15" s="13"/>
      <c r="W15" s="13"/>
      <c r="X15" s="13"/>
      <c r="Y15" s="13"/>
      <c r="Z15" s="14"/>
    </row>
    <row r="16" spans="1:26" ht="14.5" customHeight="1" x14ac:dyDescent="0.35">
      <c r="A16" t="s">
        <v>13</v>
      </c>
      <c r="B16" s="30" t="s">
        <v>24</v>
      </c>
      <c r="C16" s="30"/>
      <c r="D16" s="30"/>
      <c r="E16" s="30"/>
      <c r="F16" s="16"/>
    </row>
    <row r="17" spans="1:23" x14ac:dyDescent="0.35">
      <c r="B17" s="30"/>
      <c r="C17" s="30"/>
      <c r="D17" s="30"/>
      <c r="E17" s="30"/>
      <c r="F17" s="16"/>
    </row>
    <row r="18" spans="1:23" ht="19.5" customHeight="1" x14ac:dyDescent="0.35">
      <c r="B18" s="30"/>
      <c r="C18" s="30"/>
      <c r="D18" s="30"/>
      <c r="E18" s="30"/>
      <c r="K18" t="s">
        <v>43</v>
      </c>
      <c r="Q18" t="s">
        <v>39</v>
      </c>
    </row>
    <row r="19" spans="1:23" ht="14.5" customHeight="1" x14ac:dyDescent="0.35">
      <c r="A19" t="s">
        <v>13</v>
      </c>
      <c r="B19" s="30" t="s">
        <v>31</v>
      </c>
      <c r="C19" s="30"/>
      <c r="D19" s="30"/>
      <c r="F19" s="30" t="s">
        <v>42</v>
      </c>
      <c r="G19" s="30"/>
      <c r="H19" s="30"/>
      <c r="I19" s="30"/>
      <c r="J19" s="19"/>
      <c r="L19" s="2" t="s">
        <v>37</v>
      </c>
      <c r="Q19" t="s">
        <v>41</v>
      </c>
    </row>
    <row r="20" spans="1:23" x14ac:dyDescent="0.35">
      <c r="B20" s="30"/>
      <c r="C20" s="30"/>
      <c r="D20" s="30"/>
      <c r="F20" s="30"/>
      <c r="G20" s="30"/>
      <c r="H20" s="30"/>
      <c r="I20" s="30"/>
      <c r="J20" s="19"/>
      <c r="K20" t="s">
        <v>44</v>
      </c>
      <c r="R20" s="2" t="s">
        <v>48</v>
      </c>
    </row>
    <row r="21" spans="1:23" x14ac:dyDescent="0.35">
      <c r="E21" t="s">
        <v>28</v>
      </c>
      <c r="L21" s="2" t="s">
        <v>38</v>
      </c>
      <c r="Q21" t="s">
        <v>49</v>
      </c>
      <c r="W21" t="s">
        <v>40</v>
      </c>
    </row>
    <row r="22" spans="1:23" x14ac:dyDescent="0.35">
      <c r="H22">
        <v>0.25</v>
      </c>
      <c r="K22" t="s">
        <v>45</v>
      </c>
    </row>
  </sheetData>
  <mergeCells count="5">
    <mergeCell ref="D1:E1"/>
    <mergeCell ref="F1:G1"/>
    <mergeCell ref="F19:I20"/>
    <mergeCell ref="B19:D20"/>
    <mergeCell ref="B16:E1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 R</dc:creator>
  <cp:lastModifiedBy>AS R</cp:lastModifiedBy>
  <dcterms:created xsi:type="dcterms:W3CDTF">2020-12-17T13:57:34Z</dcterms:created>
  <dcterms:modified xsi:type="dcterms:W3CDTF">2020-12-26T09:56:31Z</dcterms:modified>
</cp:coreProperties>
</file>